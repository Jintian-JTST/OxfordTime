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User\Desktop\JTST\ipq\Essay\"/>
    </mc:Choice>
  </mc:AlternateContent>
  <xr:revisionPtr revIDLastSave="0" documentId="13_ncr:1_{C287837F-560F-49B2-B3ED-F1E7A0E18C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s" sheetId="1" r:id="rId1"/>
    <sheet name="formal" sheetId="3" r:id="rId2"/>
    <sheet name="rough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M2" i="3"/>
  <c r="K2" i="3"/>
  <c r="L2" i="3"/>
  <c r="J3" i="3"/>
  <c r="J4" i="3"/>
  <c r="J5" i="3"/>
  <c r="J6" i="3"/>
  <c r="J7" i="3"/>
  <c r="J8" i="3"/>
  <c r="J9" i="3"/>
  <c r="J10" i="3"/>
  <c r="J11" i="3"/>
  <c r="J12" i="3"/>
  <c r="J2" i="3"/>
  <c r="C3" i="3"/>
  <c r="D3" i="3"/>
  <c r="K3" i="3" s="1"/>
  <c r="E3" i="3"/>
  <c r="L3" i="3" s="1"/>
  <c r="C4" i="3"/>
  <c r="D4" i="3"/>
  <c r="K4" i="3" s="1"/>
  <c r="E4" i="3"/>
  <c r="L4" i="3" s="1"/>
  <c r="C5" i="3"/>
  <c r="D5" i="3"/>
  <c r="K5" i="3" s="1"/>
  <c r="E5" i="3"/>
  <c r="L5" i="3" s="1"/>
  <c r="C6" i="3"/>
  <c r="D6" i="3"/>
  <c r="K6" i="3" s="1"/>
  <c r="E6" i="3"/>
  <c r="L6" i="3" s="1"/>
  <c r="C7" i="3"/>
  <c r="D7" i="3"/>
  <c r="K7" i="3" s="1"/>
  <c r="E7" i="3"/>
  <c r="L7" i="3" s="1"/>
  <c r="C8" i="3"/>
  <c r="D8" i="3"/>
  <c r="K8" i="3" s="1"/>
  <c r="E8" i="3"/>
  <c r="L8" i="3" s="1"/>
  <c r="C9" i="3"/>
  <c r="D9" i="3"/>
  <c r="K9" i="3" s="1"/>
  <c r="E9" i="3"/>
  <c r="L9" i="3" s="1"/>
  <c r="C10" i="3"/>
  <c r="D10" i="3"/>
  <c r="K10" i="3" s="1"/>
  <c r="E10" i="3"/>
  <c r="L10" i="3" s="1"/>
  <c r="C12" i="3"/>
  <c r="D12" i="3"/>
  <c r="K12" i="3" s="1"/>
  <c r="E12" i="3"/>
  <c r="L12" i="3" s="1"/>
  <c r="D11" i="3"/>
  <c r="K11" i="3" s="1"/>
  <c r="E11" i="3"/>
  <c r="L11" i="3" s="1"/>
  <c r="C11" i="3"/>
  <c r="M11" i="3" s="1"/>
  <c r="AD16" i="1"/>
  <c r="I4" i="1"/>
  <c r="I5" i="1"/>
  <c r="I6" i="1"/>
  <c r="I7" i="1"/>
  <c r="I8" i="1"/>
  <c r="I9" i="1"/>
  <c r="I10" i="1"/>
  <c r="I11" i="1"/>
  <c r="I3" i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3" i="1"/>
  <c r="J3" i="1" s="1"/>
  <c r="M12" i="3" l="1"/>
  <c r="M10" i="3"/>
  <c r="M9" i="3"/>
  <c r="M8" i="3"/>
  <c r="M7" i="3"/>
  <c r="M6" i="3"/>
  <c r="M5" i="3"/>
  <c r="M4" i="3"/>
  <c r="M3" i="3"/>
</calcChain>
</file>

<file path=xl/sharedStrings.xml><?xml version="1.0" encoding="utf-8"?>
<sst xmlns="http://schemas.openxmlformats.org/spreadsheetml/2006/main" count="53" uniqueCount="40">
  <si>
    <t>No.</t>
  </si>
  <si>
    <t>m1/g</t>
  </si>
  <si>
    <t>m2/g</t>
  </si>
  <si>
    <t>m3/g</t>
  </si>
  <si>
    <t>m/g</t>
  </si>
  <si>
    <t>h/cm</t>
  </si>
  <si>
    <t>l/cm</t>
  </si>
  <si>
    <t>V/ml</t>
  </si>
  <si>
    <t>A/cm^2</t>
  </si>
  <si>
    <t>material</t>
  </si>
  <si>
    <t>plastic</t>
  </si>
  <si>
    <t>Al</t>
  </si>
  <si>
    <t>Fe</t>
  </si>
  <si>
    <t>density</t>
  </si>
  <si>
    <t>container</t>
  </si>
  <si>
    <t>mass blocks</t>
  </si>
  <si>
    <t>R/cm</t>
  </si>
  <si>
    <t>mass should at least: 74.25g</t>
  </si>
  <si>
    <t>T/s</t>
  </si>
  <si>
    <t>24.5cm</t>
  </si>
  <si>
    <t>t/s</t>
  </si>
  <si>
    <t>k</t>
  </si>
  <si>
    <t>T1/s</t>
  </si>
  <si>
    <t>T2/s</t>
  </si>
  <si>
    <t>T3/s</t>
  </si>
  <si>
    <t>F1/f</t>
  </si>
  <si>
    <t>F2/f</t>
  </si>
  <si>
    <t>F3/f</t>
  </si>
  <si>
    <t>k/kg s-1</t>
  </si>
  <si>
    <t>theta</t>
  </si>
  <si>
    <t>Quantity/ Unit</t>
  </si>
  <si>
    <t>Value</t>
  </si>
  <si>
    <t>Frame/f</t>
  </si>
  <si>
    <t>10T/s</t>
  </si>
  <si>
    <t>Variable</t>
  </si>
  <si>
    <t>Unit</t>
  </si>
  <si>
    <t>I</t>
  </si>
  <si>
    <t>m</t>
  </si>
  <si>
    <t>V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</si>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</sst>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8</xdr:row>
      <xdr:rowOff>47625</xdr:rowOff>
    </xdr:from>
    <xdr:to>
      <xdr:col>1</xdr:col>
      <xdr:colOff>523875</xdr:colOff>
      <xdr:row>9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6251E15-4F90-19C5-095C-ED3DA97CE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1571625"/>
          <a:ext cx="5143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333375</xdr:colOff>
      <xdr:row>8</xdr:row>
      <xdr:rowOff>142875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64B220C-EF5E-CDA0-2536-22BA6C3F5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"/>
          <a:ext cx="3333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2</xdr:col>
      <xdr:colOff>19050</xdr:colOff>
      <xdr:row>9</xdr:row>
      <xdr:rowOff>142875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2FD0CC-4D2A-BFDB-6735-7032375E9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0"/>
          <a:ext cx="6286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247650</xdr:colOff>
      <xdr:row>9</xdr:row>
      <xdr:rowOff>142875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5BD30FB-C680-F03B-D22F-DD183C086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0"/>
          <a:ext cx="2476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495300</xdr:colOff>
      <xdr:row>10</xdr:row>
      <xdr:rowOff>142875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CE0B8D2-0A7D-CECD-F025-9FF6234CF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500"/>
          <a:ext cx="4953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76200</xdr:colOff>
      <xdr:row>10</xdr:row>
      <xdr:rowOff>142875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CC09277-85A8-FED2-DECD-04627995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95500"/>
          <a:ext cx="762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561975</xdr:colOff>
      <xdr:row>11</xdr:row>
      <xdr:rowOff>142875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CCD7AFF-2F18-0272-F6E5-6FA05BE3C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000"/>
          <a:ext cx="5619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133350</xdr:colOff>
      <xdr:row>11</xdr:row>
      <xdr:rowOff>142875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4A90DF5-9375-BAF3-DFC8-92058AA77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86000"/>
          <a:ext cx="1333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495300</xdr:colOff>
      <xdr:row>12</xdr:row>
      <xdr:rowOff>142875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6C68135-D846-F29C-2623-BBFCEEBA1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76500"/>
          <a:ext cx="4953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190500</xdr:colOff>
      <xdr:row>12</xdr:row>
      <xdr:rowOff>142875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FF077D6-E063-9831-CB86-2BF27B943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76500"/>
          <a:ext cx="1905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"/>
  <sheetViews>
    <sheetView tabSelected="1" zoomScaleNormal="100" workbookViewId="0">
      <selection activeCell="G12" sqref="G12"/>
    </sheetView>
  </sheetViews>
  <sheetFormatPr defaultRowHeight="15" x14ac:dyDescent="0.25"/>
  <cols>
    <col min="1" max="1" width="6" style="1" bestFit="1" customWidth="1"/>
    <col min="2" max="2" width="8.42578125" style="1" bestFit="1" customWidth="1"/>
    <col min="3" max="3" width="7.7109375" style="1" bestFit="1" customWidth="1"/>
    <col min="4" max="4" width="6.5703125" style="1" bestFit="1" customWidth="1"/>
    <col min="5" max="9" width="5.5703125" style="1" bestFit="1" customWidth="1"/>
    <col min="10" max="10" width="7.5703125" style="1" bestFit="1" customWidth="1"/>
    <col min="11" max="11" width="9.140625" style="1"/>
    <col min="12" max="12" width="4.5703125" style="1" bestFit="1" customWidth="1"/>
    <col min="13" max="14" width="6.5703125" style="1" bestFit="1" customWidth="1"/>
    <col min="15" max="15" width="5.28515625" style="1" bestFit="1" customWidth="1"/>
    <col min="16" max="16" width="5.5703125" style="1" bestFit="1" customWidth="1"/>
    <col min="17" max="17" width="6.5703125" style="1" bestFit="1" customWidth="1"/>
    <col min="18" max="18" width="5.85546875" style="1" customWidth="1"/>
    <col min="19" max="20" width="5.7109375" style="1" customWidth="1"/>
    <col min="21" max="21" width="7.5703125" style="1" bestFit="1" customWidth="1"/>
    <col min="22" max="22" width="7.5703125" style="1" customWidth="1"/>
    <col min="23" max="23" width="5.5703125" style="1" bestFit="1" customWidth="1"/>
    <col min="24" max="26" width="6.42578125" style="1" customWidth="1"/>
    <col min="27" max="27" width="7.5703125" style="1" bestFit="1" customWidth="1"/>
    <col min="28" max="28" width="5.5703125" style="1" bestFit="1" customWidth="1"/>
    <col min="29" max="29" width="6.42578125" style="1" customWidth="1"/>
    <col min="30" max="30" width="5.5703125" style="1" bestFit="1" customWidth="1"/>
    <col min="31" max="16384" width="9.140625" style="1"/>
  </cols>
  <sheetData>
    <row r="1" spans="1:30" x14ac:dyDescent="0.25">
      <c r="A1" s="11" t="s">
        <v>15</v>
      </c>
      <c r="B1" s="11"/>
      <c r="C1" s="11"/>
      <c r="D1" s="11"/>
      <c r="E1" s="11"/>
      <c r="F1" s="11"/>
      <c r="G1" s="11"/>
      <c r="H1" s="11"/>
      <c r="I1" s="11"/>
      <c r="J1" s="11"/>
    </row>
    <row r="2" spans="1:30" x14ac:dyDescent="0.25">
      <c r="A2" s="1" t="s">
        <v>0</v>
      </c>
      <c r="B2" s="1" t="s">
        <v>9</v>
      </c>
      <c r="C2" s="1" t="s">
        <v>8</v>
      </c>
      <c r="D2" s="1" t="s">
        <v>5</v>
      </c>
      <c r="E2" s="1" t="s">
        <v>7</v>
      </c>
      <c r="F2" s="1" t="s">
        <v>1</v>
      </c>
      <c r="G2" s="1" t="s">
        <v>2</v>
      </c>
      <c r="H2" s="1" t="s">
        <v>3</v>
      </c>
      <c r="I2" s="3" t="s">
        <v>4</v>
      </c>
      <c r="J2" s="1" t="s">
        <v>13</v>
      </c>
    </row>
    <row r="3" spans="1:30" x14ac:dyDescent="0.25">
      <c r="A3" s="1">
        <v>1</v>
      </c>
      <c r="B3" s="12" t="s">
        <v>10</v>
      </c>
      <c r="C3" s="2">
        <v>2</v>
      </c>
      <c r="D3" s="2">
        <v>2.82</v>
      </c>
      <c r="E3" s="2">
        <f>C3*D3</f>
        <v>5.64</v>
      </c>
      <c r="F3" s="2">
        <v>7.78</v>
      </c>
      <c r="G3" s="2">
        <v>7.76</v>
      </c>
      <c r="H3" s="2">
        <v>7.76</v>
      </c>
      <c r="I3" s="2">
        <f>ROUND((F3+G3+H3)/3,2)</f>
        <v>7.77</v>
      </c>
      <c r="J3" s="2">
        <f>I3/E3</f>
        <v>1.3776595744680851</v>
      </c>
    </row>
    <row r="4" spans="1:30" x14ac:dyDescent="0.25">
      <c r="A4" s="1">
        <v>2</v>
      </c>
      <c r="B4" s="12"/>
      <c r="C4" s="2">
        <v>2</v>
      </c>
      <c r="D4" s="2">
        <v>4</v>
      </c>
      <c r="E4" s="2">
        <f t="shared" ref="E4:E11" si="0">C4*D4</f>
        <v>8</v>
      </c>
      <c r="F4" s="2">
        <v>10.97</v>
      </c>
      <c r="G4" s="2">
        <v>10.98</v>
      </c>
      <c r="H4" s="2">
        <v>11.02</v>
      </c>
      <c r="I4" s="2">
        <f t="shared" ref="I4:I11" si="1">ROUND((F4+G4+H4)/3,2)</f>
        <v>10.99</v>
      </c>
      <c r="J4" s="2">
        <f t="shared" ref="J4:J11" si="2">I4/E4</f>
        <v>1.37375</v>
      </c>
    </row>
    <row r="5" spans="1:30" x14ac:dyDescent="0.25">
      <c r="A5" s="1">
        <v>3</v>
      </c>
      <c r="B5" s="12"/>
      <c r="C5" s="2">
        <v>2</v>
      </c>
      <c r="D5" s="2">
        <v>4.68</v>
      </c>
      <c r="E5" s="2">
        <f t="shared" si="0"/>
        <v>9.36</v>
      </c>
      <c r="F5" s="2">
        <v>11.47</v>
      </c>
      <c r="G5" s="2">
        <v>11.48</v>
      </c>
      <c r="H5" s="2">
        <v>11.47</v>
      </c>
      <c r="I5" s="2">
        <f t="shared" si="1"/>
        <v>11.47</v>
      </c>
      <c r="J5" s="2">
        <f t="shared" si="2"/>
        <v>1.2254273504273505</v>
      </c>
    </row>
    <row r="6" spans="1:30" x14ac:dyDescent="0.25">
      <c r="A6" s="1">
        <v>4</v>
      </c>
      <c r="B6" s="12" t="s">
        <v>11</v>
      </c>
      <c r="C6" s="2">
        <v>2</v>
      </c>
      <c r="D6" s="2">
        <v>3.34</v>
      </c>
      <c r="E6" s="2">
        <f t="shared" si="0"/>
        <v>6.68</v>
      </c>
      <c r="F6" s="2">
        <v>16.63</v>
      </c>
      <c r="G6" s="2">
        <v>16.63</v>
      </c>
      <c r="H6" s="2">
        <v>16.63</v>
      </c>
      <c r="I6" s="2">
        <f t="shared" si="1"/>
        <v>16.63</v>
      </c>
      <c r="J6" s="2">
        <f t="shared" si="2"/>
        <v>2.4895209580838324</v>
      </c>
    </row>
    <row r="7" spans="1:30" x14ac:dyDescent="0.25">
      <c r="A7" s="1">
        <v>5</v>
      </c>
      <c r="B7" s="12"/>
      <c r="C7" s="2">
        <v>2</v>
      </c>
      <c r="D7" s="2">
        <v>4.32</v>
      </c>
      <c r="E7" s="2">
        <f t="shared" si="0"/>
        <v>8.64</v>
      </c>
      <c r="F7" s="2">
        <v>22.1</v>
      </c>
      <c r="G7" s="2">
        <v>22.08</v>
      </c>
      <c r="H7" s="2">
        <v>22.08</v>
      </c>
      <c r="I7" s="2">
        <f t="shared" si="1"/>
        <v>22.09</v>
      </c>
      <c r="J7" s="2">
        <f t="shared" si="2"/>
        <v>2.5567129629629628</v>
      </c>
    </row>
    <row r="8" spans="1:30" x14ac:dyDescent="0.25">
      <c r="A8" s="1">
        <v>6</v>
      </c>
      <c r="B8" s="12"/>
      <c r="C8" s="2">
        <v>2</v>
      </c>
      <c r="D8" s="2">
        <v>5.34</v>
      </c>
      <c r="E8" s="2">
        <f t="shared" si="0"/>
        <v>10.68</v>
      </c>
      <c r="F8" s="2">
        <v>27.64</v>
      </c>
      <c r="G8" s="2">
        <v>27.64</v>
      </c>
      <c r="H8" s="2">
        <v>27.62</v>
      </c>
      <c r="I8" s="2">
        <f t="shared" si="1"/>
        <v>27.63</v>
      </c>
      <c r="J8" s="2">
        <f t="shared" si="2"/>
        <v>2.5870786516853932</v>
      </c>
    </row>
    <row r="9" spans="1:30" x14ac:dyDescent="0.25">
      <c r="A9" s="1">
        <v>7</v>
      </c>
      <c r="B9" s="12" t="s">
        <v>12</v>
      </c>
      <c r="C9" s="2">
        <v>2</v>
      </c>
      <c r="D9" s="2">
        <v>3.14</v>
      </c>
      <c r="E9" s="2">
        <f t="shared" si="0"/>
        <v>6.28</v>
      </c>
      <c r="F9" s="2">
        <v>46.26</v>
      </c>
      <c r="G9" s="2">
        <v>46.25</v>
      </c>
      <c r="H9" s="2">
        <v>46.27</v>
      </c>
      <c r="I9" s="2">
        <f t="shared" si="1"/>
        <v>46.26</v>
      </c>
      <c r="J9" s="2">
        <f t="shared" si="2"/>
        <v>7.3662420382165603</v>
      </c>
    </row>
    <row r="10" spans="1:30" x14ac:dyDescent="0.25">
      <c r="A10" s="1">
        <v>8</v>
      </c>
      <c r="B10" s="12"/>
      <c r="C10" s="2">
        <v>2</v>
      </c>
      <c r="D10" s="2">
        <v>4.4800000000000004</v>
      </c>
      <c r="E10" s="2">
        <f t="shared" si="0"/>
        <v>8.9600000000000009</v>
      </c>
      <c r="F10" s="2">
        <v>61.89</v>
      </c>
      <c r="G10" s="2">
        <v>61.9</v>
      </c>
      <c r="H10" s="2">
        <v>61.9</v>
      </c>
      <c r="I10" s="2">
        <f t="shared" si="1"/>
        <v>61.9</v>
      </c>
      <c r="J10" s="2">
        <f t="shared" si="2"/>
        <v>6.9084821428571423</v>
      </c>
    </row>
    <row r="11" spans="1:30" x14ac:dyDescent="0.25">
      <c r="A11" s="1">
        <v>9</v>
      </c>
      <c r="B11" s="12"/>
      <c r="C11" s="2">
        <v>2</v>
      </c>
      <c r="D11" s="2">
        <v>5.28</v>
      </c>
      <c r="E11" s="2">
        <f t="shared" si="0"/>
        <v>10.56</v>
      </c>
      <c r="F11" s="2">
        <v>77.92</v>
      </c>
      <c r="G11" s="2">
        <v>77.95</v>
      </c>
      <c r="H11" s="2">
        <v>77.95</v>
      </c>
      <c r="I11" s="2">
        <f t="shared" si="1"/>
        <v>77.94</v>
      </c>
      <c r="J11" s="2">
        <f t="shared" si="2"/>
        <v>7.3806818181818175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5" spans="1:30" x14ac:dyDescent="0.25">
      <c r="AD15" s="1">
        <v>263</v>
      </c>
    </row>
    <row r="16" spans="1:30" x14ac:dyDescent="0.25">
      <c r="AD16" s="1">
        <f>611-263</f>
        <v>348</v>
      </c>
    </row>
    <row r="18" spans="30:30" x14ac:dyDescent="0.25">
      <c r="AD18" s="1">
        <v>197</v>
      </c>
    </row>
    <row r="19" spans="30:30" x14ac:dyDescent="0.25">
      <c r="AD19" s="1">
        <v>253</v>
      </c>
    </row>
    <row r="20" spans="30:30" x14ac:dyDescent="0.25">
      <c r="AD20" s="1">
        <v>189</v>
      </c>
    </row>
  </sheetData>
  <mergeCells count="4">
    <mergeCell ref="A1:J1"/>
    <mergeCell ref="B6:B8"/>
    <mergeCell ref="B9:B11"/>
    <mergeCell ref="B3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CF7F-1C66-42C8-8EC5-9CB43F6BA29A}">
  <dimension ref="A1:V20"/>
  <sheetViews>
    <sheetView workbookViewId="0">
      <selection activeCell="D11" sqref="D11:D12"/>
    </sheetView>
  </sheetViews>
  <sheetFormatPr defaultRowHeight="15" x14ac:dyDescent="0.25"/>
  <cols>
    <col min="6" max="9" width="0" hidden="1" customWidth="1"/>
    <col min="10" max="13" width="9.140625" style="4"/>
  </cols>
  <sheetData>
    <row r="1" spans="1:22" x14ac:dyDescent="0.25">
      <c r="A1" s="5" t="s">
        <v>0</v>
      </c>
      <c r="B1" s="6" t="s">
        <v>16</v>
      </c>
      <c r="C1" t="s">
        <v>25</v>
      </c>
      <c r="D1" s="5" t="s">
        <v>26</v>
      </c>
      <c r="E1" s="5" t="s">
        <v>27</v>
      </c>
      <c r="F1" s="5"/>
      <c r="G1" s="5"/>
      <c r="H1" s="5"/>
      <c r="I1" s="5"/>
      <c r="J1" s="6" t="s">
        <v>22</v>
      </c>
      <c r="K1" s="6" t="s">
        <v>23</v>
      </c>
      <c r="L1" s="6" t="s">
        <v>24</v>
      </c>
      <c r="M1" s="6" t="s">
        <v>18</v>
      </c>
      <c r="P1" s="1"/>
      <c r="T1" s="1"/>
      <c r="V1" s="1"/>
    </row>
    <row r="2" spans="1:22" x14ac:dyDescent="0.25">
      <c r="A2" s="5">
        <v>1</v>
      </c>
      <c r="B2" s="6">
        <v>7.96</v>
      </c>
      <c r="C2">
        <v>290</v>
      </c>
      <c r="D2" s="5">
        <v>292</v>
      </c>
      <c r="E2" s="5">
        <v>284</v>
      </c>
      <c r="F2" s="5"/>
      <c r="G2" s="5"/>
      <c r="H2" s="5"/>
      <c r="I2" s="5"/>
      <c r="J2" s="4">
        <f t="shared" ref="J2:J12" si="0">C2/240</f>
        <v>1.2083333333333333</v>
      </c>
      <c r="K2" s="4">
        <f t="shared" ref="K2" si="1">D2/240</f>
        <v>1.2166666666666666</v>
      </c>
      <c r="L2" s="4">
        <f t="shared" ref="L2" si="2">E2/240</f>
        <v>1.1833333333333333</v>
      </c>
      <c r="M2" s="4">
        <f t="shared" ref="M2:M12" si="3">(J2+K2+L2)/3</f>
        <v>1.2027777777777777</v>
      </c>
      <c r="P2" s="1"/>
      <c r="T2" s="1"/>
      <c r="V2" s="1"/>
    </row>
    <row r="3" spans="1:22" x14ac:dyDescent="0.25">
      <c r="A3" s="5">
        <v>2</v>
      </c>
      <c r="B3" s="9">
        <v>7.67</v>
      </c>
      <c r="C3" s="8">
        <f t="shared" ref="C3:C12" si="4">F3*240</f>
        <v>225.74604239999999</v>
      </c>
      <c r="D3" s="8">
        <f t="shared" ref="D3:D12" si="5">G3*240</f>
        <v>231.52327439999999</v>
      </c>
      <c r="E3" s="8">
        <f t="shared" ref="E3:E12" si="6">H3*240</f>
        <v>244.01068319999999</v>
      </c>
      <c r="F3" s="6">
        <v>0.94060851000000001</v>
      </c>
      <c r="G3" s="6">
        <v>0.96468030999999999</v>
      </c>
      <c r="H3" s="6">
        <v>1.0167111799999999</v>
      </c>
      <c r="I3" s="6">
        <v>0.97399999999999998</v>
      </c>
      <c r="J3" s="4">
        <f t="shared" si="0"/>
        <v>0.94060851000000001</v>
      </c>
      <c r="K3" s="4">
        <f t="shared" ref="K3:K12" si="7">D3/240</f>
        <v>0.96468030999999999</v>
      </c>
      <c r="L3" s="4">
        <f t="shared" ref="L3:L12" si="8">E3/240</f>
        <v>1.0167111799999999</v>
      </c>
      <c r="M3" s="4">
        <f t="shared" si="3"/>
        <v>0.97399999999999987</v>
      </c>
      <c r="P3" s="1" t="s">
        <v>30</v>
      </c>
      <c r="Q3" t="s">
        <v>31</v>
      </c>
      <c r="T3" s="9"/>
      <c r="V3" s="1"/>
    </row>
    <row r="4" spans="1:22" x14ac:dyDescent="0.25">
      <c r="A4" s="5">
        <v>3</v>
      </c>
      <c r="B4" s="9">
        <v>5.76</v>
      </c>
      <c r="C4" s="8">
        <f t="shared" si="4"/>
        <v>192.49526879999999</v>
      </c>
      <c r="D4" s="8">
        <f t="shared" si="5"/>
        <v>209.21856960000002</v>
      </c>
      <c r="E4" s="8">
        <f t="shared" si="6"/>
        <v>198.7661616</v>
      </c>
      <c r="F4" s="6">
        <v>0.80206361999999998</v>
      </c>
      <c r="G4" s="6">
        <v>0.87174404000000005</v>
      </c>
      <c r="H4" s="6">
        <v>0.82819233999999997</v>
      </c>
      <c r="I4" s="6">
        <v>0.83399999999999996</v>
      </c>
      <c r="J4" s="4">
        <f t="shared" si="0"/>
        <v>0.80206361999999998</v>
      </c>
      <c r="K4" s="4">
        <f t="shared" si="7"/>
        <v>0.87174404000000005</v>
      </c>
      <c r="L4" s="4">
        <f t="shared" si="8"/>
        <v>0.82819233999999997</v>
      </c>
      <c r="M4" s="4">
        <f t="shared" si="3"/>
        <v>0.83399999999999996</v>
      </c>
      <c r="P4" s="1" t="s">
        <v>8</v>
      </c>
      <c r="Q4" s="2">
        <v>9</v>
      </c>
      <c r="T4" s="9"/>
    </row>
    <row r="5" spans="1:22" x14ac:dyDescent="0.25">
      <c r="A5" s="5">
        <v>4</v>
      </c>
      <c r="B5" s="9">
        <v>5</v>
      </c>
      <c r="C5" s="8">
        <f t="shared" si="4"/>
        <v>465.31105200000002</v>
      </c>
      <c r="D5" s="8">
        <f t="shared" si="5"/>
        <v>425.3456304</v>
      </c>
      <c r="E5" s="8">
        <f t="shared" si="6"/>
        <v>447.8233176</v>
      </c>
      <c r="F5" s="6">
        <v>1.9387960500000001</v>
      </c>
      <c r="G5" s="6">
        <v>1.7722734600000001</v>
      </c>
      <c r="H5" s="6">
        <v>1.86593049</v>
      </c>
      <c r="I5" s="6">
        <v>1.859</v>
      </c>
      <c r="J5" s="4">
        <f t="shared" si="0"/>
        <v>1.9387960500000001</v>
      </c>
      <c r="K5" s="4">
        <f t="shared" si="7"/>
        <v>1.7722734600000001</v>
      </c>
      <c r="L5" s="4">
        <f t="shared" si="8"/>
        <v>1.86593049</v>
      </c>
      <c r="M5" s="4">
        <f t="shared" si="3"/>
        <v>1.859</v>
      </c>
      <c r="P5" s="1" t="s">
        <v>7</v>
      </c>
      <c r="Q5" s="2">
        <v>184.95</v>
      </c>
      <c r="T5" s="9"/>
    </row>
    <row r="6" spans="1:22" x14ac:dyDescent="0.25">
      <c r="A6" s="5">
        <v>5</v>
      </c>
      <c r="B6" s="9">
        <v>4.28</v>
      </c>
      <c r="C6" s="8">
        <f t="shared" si="4"/>
        <v>227</v>
      </c>
      <c r="D6" s="8">
        <f t="shared" si="5"/>
        <v>223</v>
      </c>
      <c r="E6" s="8">
        <f t="shared" si="6"/>
        <v>223</v>
      </c>
      <c r="F6" s="7">
        <v>0.9458333333333333</v>
      </c>
      <c r="G6" s="7">
        <v>0.9291666666666667</v>
      </c>
      <c r="H6" s="7">
        <v>0.9291666666666667</v>
      </c>
      <c r="I6" s="6">
        <v>0.93500000000000005</v>
      </c>
      <c r="J6" s="4">
        <f t="shared" si="0"/>
        <v>0.9458333333333333</v>
      </c>
      <c r="K6" s="4">
        <f t="shared" si="7"/>
        <v>0.9291666666666667</v>
      </c>
      <c r="L6" s="4">
        <f t="shared" si="8"/>
        <v>0.9291666666666667</v>
      </c>
      <c r="M6" s="4">
        <f t="shared" si="3"/>
        <v>0.93472222222222223</v>
      </c>
      <c r="P6" s="1" t="s">
        <v>4</v>
      </c>
      <c r="Q6" s="2">
        <v>258.82</v>
      </c>
      <c r="T6" s="9"/>
    </row>
    <row r="7" spans="1:22" x14ac:dyDescent="0.25">
      <c r="A7" s="5">
        <v>6</v>
      </c>
      <c r="B7" s="9">
        <v>3.92</v>
      </c>
      <c r="C7" s="8">
        <f t="shared" si="4"/>
        <v>222</v>
      </c>
      <c r="D7" s="8">
        <f t="shared" si="5"/>
        <v>219</v>
      </c>
      <c r="E7" s="8">
        <f t="shared" si="6"/>
        <v>222</v>
      </c>
      <c r="F7" s="7">
        <v>0.92500000000000004</v>
      </c>
      <c r="G7" s="7">
        <v>0.91249999999999998</v>
      </c>
      <c r="H7" s="7">
        <v>0.92500000000000004</v>
      </c>
      <c r="I7" s="6">
        <v>0.92100000000000004</v>
      </c>
      <c r="J7" s="4">
        <f t="shared" si="0"/>
        <v>0.92500000000000004</v>
      </c>
      <c r="K7" s="4">
        <f t="shared" si="7"/>
        <v>0.91249999999999998</v>
      </c>
      <c r="L7" s="4">
        <f t="shared" si="8"/>
        <v>0.92500000000000004</v>
      </c>
      <c r="M7" s="4">
        <f t="shared" si="3"/>
        <v>0.92083333333333339</v>
      </c>
      <c r="P7" s="1" t="s">
        <v>5</v>
      </c>
      <c r="Q7" s="2">
        <v>24.5</v>
      </c>
      <c r="T7" s="9"/>
    </row>
    <row r="8" spans="1:22" x14ac:dyDescent="0.25">
      <c r="A8" s="5">
        <v>7</v>
      </c>
      <c r="B8" s="9">
        <v>3.5</v>
      </c>
      <c r="C8" s="8">
        <f t="shared" si="4"/>
        <v>107.418708</v>
      </c>
      <c r="D8" s="8">
        <f t="shared" si="5"/>
        <v>107.10529199999999</v>
      </c>
      <c r="E8" s="8">
        <f t="shared" si="6"/>
        <v>105.1277352</v>
      </c>
      <c r="F8" s="6">
        <v>0.44757795</v>
      </c>
      <c r="G8" s="6">
        <v>0.44627204999999998</v>
      </c>
      <c r="H8" s="6">
        <v>0.43803223000000002</v>
      </c>
      <c r="I8" s="6">
        <v>0.45</v>
      </c>
      <c r="J8" s="4">
        <f t="shared" si="0"/>
        <v>0.44757795</v>
      </c>
      <c r="K8" s="4">
        <f t="shared" si="7"/>
        <v>0.44627204999999998</v>
      </c>
      <c r="L8" s="4">
        <f t="shared" si="8"/>
        <v>0.43803223000000002</v>
      </c>
      <c r="M8" s="4">
        <f t="shared" si="3"/>
        <v>0.44396074333333341</v>
      </c>
      <c r="P8" s="1" t="s">
        <v>28</v>
      </c>
      <c r="Q8" s="10">
        <v>0.5</v>
      </c>
      <c r="T8" s="9"/>
    </row>
    <row r="9" spans="1:22" x14ac:dyDescent="0.25">
      <c r="A9" s="5">
        <v>8</v>
      </c>
      <c r="B9" s="9">
        <v>3.13</v>
      </c>
      <c r="C9" s="8">
        <f t="shared" si="4"/>
        <v>258</v>
      </c>
      <c r="D9" s="8">
        <f t="shared" si="5"/>
        <v>252</v>
      </c>
      <c r="E9" s="8">
        <f t="shared" si="6"/>
        <v>245.99999999999997</v>
      </c>
      <c r="F9" s="7">
        <v>1.075</v>
      </c>
      <c r="G9" s="7">
        <v>1.05</v>
      </c>
      <c r="H9" s="7">
        <v>1.0249999999999999</v>
      </c>
      <c r="I9" s="6">
        <v>1.05</v>
      </c>
      <c r="J9" s="4">
        <f t="shared" si="0"/>
        <v>1.075</v>
      </c>
      <c r="K9" s="4">
        <f t="shared" si="7"/>
        <v>1.05</v>
      </c>
      <c r="L9" s="4">
        <f t="shared" si="8"/>
        <v>1.0249999999999999</v>
      </c>
      <c r="M9" s="4">
        <f t="shared" si="3"/>
        <v>1.05</v>
      </c>
      <c r="P9" s="1" t="s">
        <v>29</v>
      </c>
      <c r="Q9" s="10">
        <v>5</v>
      </c>
      <c r="T9" s="9"/>
    </row>
    <row r="10" spans="1:22" x14ac:dyDescent="0.25">
      <c r="A10" s="5">
        <v>9</v>
      </c>
      <c r="B10" s="9">
        <v>2.41</v>
      </c>
      <c r="C10" s="8">
        <f t="shared" si="4"/>
        <v>318</v>
      </c>
      <c r="D10" s="8">
        <f t="shared" si="5"/>
        <v>295</v>
      </c>
      <c r="E10" s="8">
        <f t="shared" si="6"/>
        <v>301</v>
      </c>
      <c r="F10" s="7">
        <v>1.325</v>
      </c>
      <c r="G10" s="7">
        <v>1.2291666666666667</v>
      </c>
      <c r="H10" s="7">
        <v>1.2541666666666667</v>
      </c>
      <c r="I10" s="6">
        <v>1.2689999999999999</v>
      </c>
      <c r="J10" s="4">
        <f t="shared" si="0"/>
        <v>1.325</v>
      </c>
      <c r="K10" s="4">
        <f t="shared" si="7"/>
        <v>1.2291666666666667</v>
      </c>
      <c r="L10" s="4">
        <f t="shared" si="8"/>
        <v>1.2541666666666667</v>
      </c>
      <c r="M10" s="4">
        <f t="shared" si="3"/>
        <v>1.2694444444444446</v>
      </c>
      <c r="T10" s="9"/>
    </row>
    <row r="11" spans="1:22" x14ac:dyDescent="0.25">
      <c r="A11" s="5">
        <v>10</v>
      </c>
      <c r="B11" s="9">
        <v>1.5</v>
      </c>
      <c r="C11" s="8">
        <f t="shared" si="4"/>
        <v>360.7682064</v>
      </c>
      <c r="D11" s="8">
        <f t="shared" si="5"/>
        <v>367.94881680000003</v>
      </c>
      <c r="E11" s="8">
        <f t="shared" si="6"/>
        <v>377.92297680000001</v>
      </c>
      <c r="F11" s="6">
        <v>1.50320086</v>
      </c>
      <c r="G11" s="6">
        <v>1.5331200700000001</v>
      </c>
      <c r="H11" s="6">
        <v>1.57467907</v>
      </c>
      <c r="I11" s="6">
        <v>1.5369999999999999</v>
      </c>
      <c r="J11" s="4">
        <f t="shared" si="0"/>
        <v>1.50320086</v>
      </c>
      <c r="K11" s="4">
        <f t="shared" si="7"/>
        <v>1.5331200700000001</v>
      </c>
      <c r="L11" s="4">
        <f t="shared" si="8"/>
        <v>1.57467907</v>
      </c>
      <c r="M11" s="4">
        <f t="shared" si="3"/>
        <v>1.5369999999999999</v>
      </c>
      <c r="T11" s="9"/>
    </row>
    <row r="12" spans="1:22" x14ac:dyDescent="0.25">
      <c r="A12" s="5">
        <v>11</v>
      </c>
      <c r="B12" s="9">
        <v>1.05</v>
      </c>
      <c r="C12" s="8">
        <f t="shared" si="4"/>
        <v>439.45458000000002</v>
      </c>
      <c r="D12" s="8">
        <f t="shared" si="5"/>
        <v>450.87871919999998</v>
      </c>
      <c r="E12" s="8">
        <f t="shared" si="6"/>
        <v>451.02670080000001</v>
      </c>
      <c r="F12" s="6">
        <v>1.83106075</v>
      </c>
      <c r="G12" s="6">
        <v>1.8786613299999999</v>
      </c>
      <c r="H12" s="6">
        <v>1.87927792</v>
      </c>
      <c r="I12" s="6">
        <v>1.863</v>
      </c>
      <c r="J12" s="4">
        <f t="shared" si="0"/>
        <v>1.83106075</v>
      </c>
      <c r="K12" s="4">
        <f t="shared" si="7"/>
        <v>1.8786613299999999</v>
      </c>
      <c r="L12" s="4">
        <f t="shared" si="8"/>
        <v>1.87927792</v>
      </c>
      <c r="M12" s="4">
        <f t="shared" si="3"/>
        <v>1.8629999999999998</v>
      </c>
      <c r="T12" s="9"/>
    </row>
    <row r="15" spans="1:22" x14ac:dyDescent="0.25">
      <c r="B15" s="11" t="s">
        <v>14</v>
      </c>
      <c r="C15" s="11"/>
      <c r="D15" s="11"/>
      <c r="E15" s="11"/>
      <c r="F15" s="1"/>
      <c r="G15" s="1"/>
      <c r="H15" s="1"/>
      <c r="I15" s="1"/>
      <c r="J15" s="1"/>
      <c r="K15" s="1"/>
    </row>
    <row r="16" spans="1:22" x14ac:dyDescent="0.25">
      <c r="B16" s="1" t="s">
        <v>6</v>
      </c>
      <c r="C16" s="1" t="s">
        <v>8</v>
      </c>
      <c r="D16" s="1" t="s">
        <v>7</v>
      </c>
      <c r="E16" s="1" t="s">
        <v>4</v>
      </c>
      <c r="F16" s="1"/>
      <c r="G16" s="1" t="s">
        <v>5</v>
      </c>
      <c r="H16" s="1" t="s">
        <v>20</v>
      </c>
      <c r="I16" s="1" t="s">
        <v>21</v>
      </c>
      <c r="J16" s="1"/>
      <c r="K16" s="1"/>
    </row>
    <row r="17" spans="2:11" x14ac:dyDescent="0.25">
      <c r="B17" s="1">
        <v>20.55</v>
      </c>
      <c r="C17" s="2">
        <v>9</v>
      </c>
      <c r="D17" s="1">
        <f>B17*C17</f>
        <v>184.95000000000002</v>
      </c>
      <c r="E17" s="2">
        <v>110.7</v>
      </c>
      <c r="F17" s="1"/>
      <c r="G17" s="1" t="s">
        <v>19</v>
      </c>
      <c r="H17" s="1">
        <v>0.80400000000000005</v>
      </c>
      <c r="I17" s="1"/>
      <c r="J17" s="1"/>
      <c r="K17" s="1"/>
    </row>
    <row r="18" spans="2:1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x14ac:dyDescent="0.25">
      <c r="B20" s="11" t="s">
        <v>17</v>
      </c>
      <c r="C20" s="11"/>
      <c r="D20" s="11"/>
      <c r="E20" s="11"/>
      <c r="F20" s="11"/>
      <c r="G20" s="11"/>
      <c r="H20" s="11"/>
      <c r="I20" s="11"/>
      <c r="J20" s="11"/>
      <c r="K20" s="11"/>
    </row>
  </sheetData>
  <sortState xmlns:xlrd2="http://schemas.microsoft.com/office/spreadsheetml/2017/richdata2" ref="A3:M12">
    <sortCondition descending="1" ref="B1:B12"/>
  </sortState>
  <mergeCells count="2">
    <mergeCell ref="B20:K20"/>
    <mergeCell ref="B15:E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47E0-FE95-4CCF-B4F3-543FB04629A7}">
  <dimension ref="A1:D13"/>
  <sheetViews>
    <sheetView workbookViewId="0">
      <selection activeCell="E8" sqref="E8"/>
    </sheetView>
  </sheetViews>
  <sheetFormatPr defaultRowHeight="15" x14ac:dyDescent="0.25"/>
  <sheetData>
    <row r="1" spans="1:4" x14ac:dyDescent="0.25">
      <c r="A1" t="s">
        <v>0</v>
      </c>
      <c r="B1" t="s">
        <v>32</v>
      </c>
      <c r="C1" t="s">
        <v>33</v>
      </c>
      <c r="D1" t="s">
        <v>18</v>
      </c>
    </row>
    <row r="2" spans="1:4" x14ac:dyDescent="0.25">
      <c r="A2">
        <v>1</v>
      </c>
      <c r="B2">
        <v>740</v>
      </c>
      <c r="C2">
        <v>6.1669999999999998</v>
      </c>
      <c r="D2" s="13">
        <v>0.61399999999999999</v>
      </c>
    </row>
    <row r="3" spans="1:4" x14ac:dyDescent="0.25">
      <c r="A3">
        <v>2</v>
      </c>
      <c r="B3">
        <v>736</v>
      </c>
      <c r="C3">
        <v>6.133</v>
      </c>
      <c r="D3" s="13"/>
    </row>
    <row r="4" spans="1:4" x14ac:dyDescent="0.25">
      <c r="A4">
        <v>3</v>
      </c>
      <c r="B4">
        <v>732</v>
      </c>
      <c r="C4">
        <v>6.1</v>
      </c>
      <c r="D4" s="13"/>
    </row>
    <row r="5" spans="1:4" x14ac:dyDescent="0.25">
      <c r="A5">
        <v>4</v>
      </c>
      <c r="B5">
        <v>738.5</v>
      </c>
      <c r="C5">
        <v>6.1539999999999999</v>
      </c>
      <c r="D5" s="13"/>
    </row>
    <row r="8" spans="1:4" x14ac:dyDescent="0.25">
      <c r="A8" t="s">
        <v>34</v>
      </c>
      <c r="B8" t="s">
        <v>31</v>
      </c>
      <c r="C8" t="s">
        <v>35</v>
      </c>
    </row>
    <row r="9" spans="1:4" x14ac:dyDescent="0.25">
      <c r="A9" t="s">
        <v>21</v>
      </c>
      <c r="B9">
        <v>0</v>
      </c>
    </row>
    <row r="10" spans="1:4" x14ac:dyDescent="0.25">
      <c r="A10" t="s">
        <v>36</v>
      </c>
    </row>
    <row r="11" spans="1:4" x14ac:dyDescent="0.25">
      <c r="A11" t="s">
        <v>37</v>
      </c>
    </row>
    <row r="12" spans="1:4" x14ac:dyDescent="0.25">
      <c r="A12" t="s">
        <v>38</v>
      </c>
    </row>
    <row r="13" spans="1:4" x14ac:dyDescent="0.25">
      <c r="A13" t="s">
        <v>39</v>
      </c>
    </row>
  </sheetData>
  <mergeCells count="1">
    <mergeCell ref="D2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mass</vt:lpstr>
      <vt:lpstr>formal</vt:lpstr>
      <vt:lpstr>rough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 JT</cp:lastModifiedBy>
  <dcterms:created xsi:type="dcterms:W3CDTF">2015-06-05T18:17:20Z</dcterms:created>
  <dcterms:modified xsi:type="dcterms:W3CDTF">2024-03-02T07:22:00Z</dcterms:modified>
</cp:coreProperties>
</file>